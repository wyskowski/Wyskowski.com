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ysko\Desktop\"/>
    </mc:Choice>
  </mc:AlternateContent>
  <xr:revisionPtr revIDLastSave="0" documentId="13_ncr:1_{B78E6FD3-B9E3-48B8-BFC4-1E8EBCDEF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Summary" sheetId="1" r:id="rId1"/>
    <sheet name="Inves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" l="1"/>
  <c r="J65" i="1"/>
  <c r="K65" i="1"/>
  <c r="L65" i="1"/>
  <c r="M65" i="1"/>
  <c r="N65" i="1"/>
  <c r="O65" i="1"/>
  <c r="P65" i="1"/>
  <c r="Q65" i="1"/>
  <c r="R65" i="1"/>
  <c r="H25" i="1"/>
  <c r="I25" i="1"/>
  <c r="J25" i="1"/>
  <c r="K25" i="1"/>
  <c r="L25" i="1"/>
  <c r="M25" i="1"/>
  <c r="N25" i="1"/>
  <c r="O25" i="1"/>
  <c r="P25" i="1"/>
  <c r="Q25" i="1"/>
  <c r="R25" i="1"/>
  <c r="H73" i="1"/>
  <c r="I73" i="1"/>
  <c r="J73" i="1"/>
  <c r="K73" i="1"/>
  <c r="L73" i="1"/>
  <c r="M73" i="1"/>
  <c r="N73" i="1"/>
  <c r="O73" i="1"/>
  <c r="P73" i="1"/>
  <c r="Q73" i="1"/>
  <c r="R73" i="1"/>
  <c r="H58" i="1"/>
  <c r="I58" i="1"/>
  <c r="J58" i="1"/>
  <c r="K58" i="1"/>
  <c r="L58" i="1"/>
  <c r="M58" i="1"/>
  <c r="N58" i="1"/>
  <c r="O58" i="1"/>
  <c r="P58" i="1"/>
  <c r="Q58" i="1"/>
  <c r="R58" i="1"/>
  <c r="G58" i="1"/>
  <c r="H49" i="1"/>
  <c r="I49" i="1"/>
  <c r="J49" i="1"/>
  <c r="K49" i="1"/>
  <c r="L49" i="1"/>
  <c r="M49" i="1"/>
  <c r="N49" i="1"/>
  <c r="O49" i="1"/>
  <c r="P49" i="1"/>
  <c r="Q49" i="1"/>
  <c r="R49" i="1"/>
  <c r="H63" i="1"/>
  <c r="I63" i="1"/>
  <c r="J63" i="1"/>
  <c r="K63" i="1"/>
  <c r="L63" i="1"/>
  <c r="M63" i="1"/>
  <c r="N63" i="1"/>
  <c r="O63" i="1"/>
  <c r="P63" i="1"/>
  <c r="Q63" i="1"/>
  <c r="R63" i="1"/>
  <c r="H31" i="1"/>
  <c r="I31" i="1"/>
  <c r="J31" i="1"/>
  <c r="K31" i="1"/>
  <c r="L31" i="1"/>
  <c r="M31" i="1"/>
  <c r="N31" i="1"/>
  <c r="O31" i="1"/>
  <c r="P31" i="1"/>
  <c r="Q31" i="1"/>
  <c r="R31" i="1"/>
  <c r="S18" i="1"/>
  <c r="N19" i="1"/>
  <c r="O19" i="1"/>
  <c r="P19" i="1"/>
  <c r="Q19" i="1"/>
  <c r="R19" i="1"/>
  <c r="H19" i="1"/>
  <c r="I19" i="1"/>
  <c r="J19" i="1"/>
  <c r="K19" i="1"/>
  <c r="K32" i="1" s="1"/>
  <c r="L19" i="1"/>
  <c r="M19" i="1"/>
  <c r="G19" i="1"/>
  <c r="S17" i="1"/>
  <c r="O32" i="1" l="1"/>
  <c r="Q32" i="1"/>
  <c r="P32" i="1"/>
  <c r="R32" i="1"/>
  <c r="I32" i="1"/>
  <c r="N32" i="1"/>
  <c r="M32" i="1"/>
  <c r="J32" i="1"/>
  <c r="H32" i="1"/>
  <c r="L32" i="1"/>
  <c r="G63" i="1"/>
  <c r="G73" i="1"/>
  <c r="G41" i="1"/>
  <c r="G49" i="1"/>
  <c r="H41" i="1"/>
  <c r="H65" i="1" s="1"/>
  <c r="H75" i="1" s="1"/>
  <c r="I41" i="1"/>
  <c r="I75" i="1" s="1"/>
  <c r="J41" i="1"/>
  <c r="J75" i="1" s="1"/>
  <c r="K41" i="1"/>
  <c r="K75" i="1" s="1"/>
  <c r="L41" i="1"/>
  <c r="L75" i="1" s="1"/>
  <c r="M41" i="1"/>
  <c r="M75" i="1" s="1"/>
  <c r="N41" i="1"/>
  <c r="N75" i="1" s="1"/>
  <c r="O41" i="1"/>
  <c r="O75" i="1" s="1"/>
  <c r="P41" i="1"/>
  <c r="P75" i="1" s="1"/>
  <c r="Q41" i="1"/>
  <c r="Q75" i="1" s="1"/>
  <c r="R41" i="1"/>
  <c r="R75" i="1" s="1"/>
  <c r="G65" i="1" l="1"/>
  <c r="G75" i="1"/>
  <c r="C13" i="1"/>
  <c r="C12" i="1"/>
  <c r="C11" i="1"/>
  <c r="C10" i="1"/>
  <c r="C9" i="1"/>
  <c r="C8" i="1"/>
  <c r="C7" i="1"/>
  <c r="C6" i="1"/>
  <c r="C5" i="1"/>
  <c r="C4" i="1"/>
  <c r="C3" i="1"/>
  <c r="S30" i="1"/>
  <c r="S28" i="1"/>
  <c r="S29" i="1"/>
  <c r="S23" i="1"/>
  <c r="S24" i="1"/>
  <c r="S22" i="1"/>
  <c r="S12" i="1"/>
  <c r="S13" i="1"/>
  <c r="S14" i="1"/>
  <c r="S15" i="1"/>
  <c r="S16" i="1"/>
  <c r="S11" i="1"/>
  <c r="G25" i="1"/>
  <c r="G31" i="1"/>
  <c r="H4" i="1"/>
  <c r="B3" i="1" s="1"/>
  <c r="I4" i="1"/>
  <c r="B4" i="1" s="1"/>
  <c r="J4" i="1"/>
  <c r="B5" i="1" s="1"/>
  <c r="K4" i="1"/>
  <c r="B6" i="1" s="1"/>
  <c r="L4" i="1"/>
  <c r="B7" i="1" s="1"/>
  <c r="M4" i="1"/>
  <c r="B8" i="1" s="1"/>
  <c r="N4" i="1"/>
  <c r="B9" i="1" s="1"/>
  <c r="O4" i="1"/>
  <c r="B10" i="1" s="1"/>
  <c r="P4" i="1"/>
  <c r="B11" i="1" s="1"/>
  <c r="Q4" i="1"/>
  <c r="B12" i="1" s="1"/>
  <c r="R4" i="1"/>
  <c r="B13" i="1" s="1"/>
  <c r="G4" i="1"/>
  <c r="D13" i="1" l="1"/>
  <c r="S19" i="1"/>
  <c r="S4" i="1"/>
  <c r="D12" i="1"/>
  <c r="B2" i="1"/>
  <c r="B14" i="1" s="1"/>
  <c r="D5" i="1"/>
  <c r="S25" i="1"/>
  <c r="D3" i="1"/>
  <c r="D10" i="1"/>
  <c r="D11" i="1"/>
  <c r="S31" i="1"/>
  <c r="D9" i="1"/>
  <c r="D6" i="1"/>
  <c r="D7" i="1"/>
  <c r="D4" i="1"/>
  <c r="D8" i="1"/>
  <c r="G32" i="1"/>
  <c r="C2" i="1" s="1"/>
  <c r="C14" i="1" s="1"/>
  <c r="S32" i="1" l="1"/>
  <c r="D2" i="1"/>
  <c r="D14" i="1"/>
  <c r="D22" i="1" l="1"/>
  <c r="D23" i="1" s="1"/>
</calcChain>
</file>

<file path=xl/sharedStrings.xml><?xml version="1.0" encoding="utf-8"?>
<sst xmlns="http://schemas.openxmlformats.org/spreadsheetml/2006/main" count="115" uniqueCount="81">
  <si>
    <t>Summary</t>
  </si>
  <si>
    <t>Income</t>
  </si>
  <si>
    <t>Expenses</t>
  </si>
  <si>
    <t>Overall Profit / Loss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</si>
  <si>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</si>
  <si>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</si>
  <si>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</si>
  <si>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</si>
  <si>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</si>
  <si>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</si>
  <si>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</si>
  <si>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</si>
  <si>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</si>
  <si>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</si>
  <si>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</si>
  <si>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</si>
  <si>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</si>
  <si>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Income:</t>
  </si>
  <si>
    <t>Feb</t>
  </si>
  <si>
    <t>Mar</t>
  </si>
  <si>
    <t>Apr</t>
  </si>
  <si>
    <t>Aug</t>
  </si>
  <si>
    <t>Sept</t>
  </si>
  <si>
    <t xml:space="preserve">Oct </t>
  </si>
  <si>
    <t>Nov</t>
  </si>
  <si>
    <t>Dec</t>
  </si>
  <si>
    <t>Jan</t>
  </si>
  <si>
    <t>Misc:</t>
  </si>
  <si>
    <t>Job:</t>
  </si>
  <si>
    <t>Total Income:</t>
  </si>
  <si>
    <t>Spending Tracker:</t>
  </si>
  <si>
    <t>Everyday Spending</t>
  </si>
  <si>
    <t>Entertainment</t>
  </si>
  <si>
    <t>Total Discretionary</t>
  </si>
  <si>
    <t>Large Purchases</t>
  </si>
  <si>
    <t>Large Purchase 1</t>
  </si>
  <si>
    <t>Large Purchase 2</t>
  </si>
  <si>
    <t>Large Purchase 3</t>
  </si>
  <si>
    <t>Total Large Purchases</t>
  </si>
  <si>
    <t>Fixed Expenses</t>
  </si>
  <si>
    <t>Insurance</t>
  </si>
  <si>
    <t>ChatGPT</t>
  </si>
  <si>
    <t>Total Fixed</t>
  </si>
  <si>
    <t>Total Expenses</t>
  </si>
  <si>
    <t>EOF Stats</t>
  </si>
  <si>
    <t>Other</t>
  </si>
  <si>
    <t>Networth</t>
  </si>
  <si>
    <t>FNBO Bank</t>
  </si>
  <si>
    <t>2025 Networth</t>
  </si>
  <si>
    <t xml:space="preserve">HYSA </t>
  </si>
  <si>
    <t xml:space="preserve">Savings </t>
  </si>
  <si>
    <t>Checking</t>
  </si>
  <si>
    <t>Total:</t>
  </si>
  <si>
    <t>Fidelity Investments</t>
  </si>
  <si>
    <t>Roth IRA - VTI</t>
  </si>
  <si>
    <t>Roth IRA - VXUS</t>
  </si>
  <si>
    <t>Rollover IRA - FXAIX</t>
  </si>
  <si>
    <t>Taxable - VTI</t>
  </si>
  <si>
    <t>Robinhood Investments</t>
  </si>
  <si>
    <t>VOO</t>
  </si>
  <si>
    <t>SCHD</t>
  </si>
  <si>
    <t>QQQM</t>
  </si>
  <si>
    <t>O</t>
  </si>
  <si>
    <t>IYT</t>
  </si>
  <si>
    <t>Other Cash</t>
  </si>
  <si>
    <t>Liabilties</t>
  </si>
  <si>
    <t>School Dept</t>
  </si>
  <si>
    <t>Auto Loan</t>
  </si>
  <si>
    <t>Misc</t>
  </si>
  <si>
    <t>Misc Assets</t>
  </si>
  <si>
    <t>Watches</t>
  </si>
  <si>
    <t>Assest Totals:</t>
  </si>
  <si>
    <t>Misc Totals:</t>
  </si>
  <si>
    <t>Spending %</t>
  </si>
  <si>
    <t>Savings %</t>
  </si>
  <si>
    <t>Automotive</t>
  </si>
  <si>
    <t>Dining out</t>
  </si>
  <si>
    <t>Travel</t>
  </si>
  <si>
    <t>Fuel</t>
  </si>
  <si>
    <t>Taxable - VXUS</t>
  </si>
  <si>
    <t>Merchandise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</si>
</sst>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7" borderId="0" applyNumberFormat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left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13" xfId="0" applyBorder="1"/>
    <xf numFmtId="164" fontId="0" fillId="0" borderId="0" xfId="1" applyNumberFormat="1" applyFont="1"/>
    <xf numFmtId="164" fontId="0" fillId="0" borderId="13" xfId="0" applyNumberFormat="1" applyBorder="1"/>
    <xf numFmtId="0" fontId="2" fillId="0" borderId="0" xfId="0" applyFont="1"/>
    <xf numFmtId="0" fontId="0" fillId="0" borderId="15" xfId="0" applyBorder="1"/>
    <xf numFmtId="164" fontId="0" fillId="0" borderId="0" xfId="0" applyNumberFormat="1"/>
    <xf numFmtId="164" fontId="0" fillId="0" borderId="17" xfId="0" applyNumberFormat="1" applyBorder="1"/>
    <xf numFmtId="164" fontId="0" fillId="0" borderId="14" xfId="0" applyNumberFormat="1" applyBorder="1"/>
    <xf numFmtId="164" fontId="3" fillId="0" borderId="13" xfId="0" applyNumberFormat="1" applyFont="1" applyBorder="1" applyAlignment="1">
      <alignment horizontal="center"/>
    </xf>
    <xf numFmtId="164" fontId="0" fillId="2" borderId="0" xfId="0" applyNumberFormat="1" applyFill="1"/>
    <xf numFmtId="164" fontId="0" fillId="2" borderId="13" xfId="0" applyNumberFormat="1" applyFill="1" applyBorder="1"/>
    <xf numFmtId="164" fontId="0" fillId="2" borderId="16" xfId="0" applyNumberFormat="1" applyFill="1" applyBorder="1"/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64" fontId="0" fillId="3" borderId="0" xfId="0" applyNumberFormat="1" applyFill="1"/>
    <xf numFmtId="164" fontId="0" fillId="3" borderId="24" xfId="0" applyNumberFormat="1" applyFill="1" applyBorder="1"/>
    <xf numFmtId="0" fontId="0" fillId="3" borderId="23" xfId="0" applyFill="1" applyBorder="1" applyAlignment="1">
      <alignment horizontal="center" vertical="center"/>
    </xf>
    <xf numFmtId="0" fontId="0" fillId="3" borderId="23" xfId="0" applyFill="1" applyBorder="1"/>
    <xf numFmtId="0" fontId="2" fillId="3" borderId="23" xfId="0" applyFont="1" applyFill="1" applyBorder="1" applyAlignment="1">
      <alignment horizontal="center" vertical="top"/>
    </xf>
    <xf numFmtId="0" fontId="4" fillId="3" borderId="23" xfId="0" applyFont="1" applyFill="1" applyBorder="1" applyAlignment="1">
      <alignment horizontal="center" vertical="center"/>
    </xf>
    <xf numFmtId="164" fontId="4" fillId="3" borderId="0" xfId="1" applyNumberFormat="1" applyFont="1" applyFill="1" applyBorder="1" applyAlignment="1">
      <alignment vertical="center"/>
    </xf>
    <xf numFmtId="0" fontId="2" fillId="3" borderId="23" xfId="0" applyFont="1" applyFill="1" applyBorder="1"/>
    <xf numFmtId="0" fontId="5" fillId="3" borderId="23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164" fontId="0" fillId="4" borderId="13" xfId="0" applyNumberFormat="1" applyFill="1" applyBorder="1"/>
    <xf numFmtId="164" fontId="0" fillId="4" borderId="26" xfId="0" applyNumberFormat="1" applyFill="1" applyBorder="1"/>
    <xf numFmtId="0" fontId="4" fillId="4" borderId="2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center"/>
    </xf>
    <xf numFmtId="164" fontId="0" fillId="4" borderId="19" xfId="0" applyNumberFormat="1" applyFill="1" applyBorder="1"/>
    <xf numFmtId="164" fontId="4" fillId="4" borderId="13" xfId="1" applyNumberFormat="1" applyFont="1" applyFill="1" applyBorder="1" applyAlignment="1">
      <alignment vertical="center"/>
    </xf>
    <xf numFmtId="164" fontId="4" fillId="4" borderId="16" xfId="1" applyNumberFormat="1" applyFont="1" applyFill="1" applyBorder="1" applyAlignment="1">
      <alignment vertical="center"/>
    </xf>
    <xf numFmtId="0" fontId="2" fillId="5" borderId="20" xfId="0" applyFont="1" applyFill="1" applyBorder="1"/>
    <xf numFmtId="0" fontId="2" fillId="6" borderId="28" xfId="0" applyFont="1" applyFill="1" applyBorder="1"/>
    <xf numFmtId="9" fontId="0" fillId="5" borderId="22" xfId="2" applyFont="1" applyFill="1" applyBorder="1"/>
    <xf numFmtId="9" fontId="0" fillId="6" borderId="29" xfId="0" applyNumberFormat="1" applyFill="1" applyBorder="1"/>
    <xf numFmtId="164" fontId="2" fillId="0" borderId="0" xfId="0" applyNumberFormat="1" applyFont="1"/>
    <xf numFmtId="164" fontId="4" fillId="0" borderId="4" xfId="3" applyNumberFormat="1" applyFont="1" applyFill="1" applyBorder="1" applyAlignment="1">
      <alignment horizontal="center"/>
    </xf>
  </cellXfs>
  <cellStyles count="4">
    <cellStyle name="Bad" xfId="3" builtinId="27"/>
    <cellStyle name="Currency" xfId="1" builtinId="4"/>
    <cellStyle name="Normal" xfId="0" builtinId="0"/>
    <cellStyle name="Percent" xfId="2" builtinId="5"/>
  </cellStyles>
  <dxfs count="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Discretionary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Summary'!$F$19</c:f>
              <c:strCache>
                <c:ptCount val="1"/>
                <c:pt idx="0">
                  <c:v>Total Discretionary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Summary'!$G$10:$R$10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 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Summary'!$G$19:$R$19</c:f>
              <c:numCache>
                <c:formatCode>"$"#,##0.00</c:formatCode>
                <c:ptCount val="12"/>
                <c:pt idx="0">
                  <c:v>1315</c:v>
                </c:pt>
                <c:pt idx="1">
                  <c:v>1806.07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4-48DF-BA47-0A420218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253792"/>
        <c:axId val="241250912"/>
      </c:lineChart>
      <c:catAx>
        <c:axId val="2412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250912"/>
        <c:crosses val="autoZero"/>
        <c:auto val="1"/>
        <c:lblAlgn val="ctr"/>
        <c:lblOffset val="100"/>
        <c:noMultiLvlLbl val="0"/>
      </c:catAx>
      <c:valAx>
        <c:axId val="2412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2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Breakdown of My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C-485F-B9A9-D978109A5C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C-485F-B9A9-D978109A5C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8C-485F-B9A9-D978109A5C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8C-485F-B9A9-D978109A5C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8C-485F-B9A9-D978109A5C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8C-485F-B9A9-D978109A5C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5F-43B9-B0BF-23CB42EAC2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65F-43B9-B0BF-23CB42EAC26C}"/>
              </c:ext>
            </c:extLst>
          </c:dPt>
          <c:cat>
            <c:strRef>
              <c:f>'Dashboard Summary'!$F$11:$F$18</c:f>
              <c:strCache>
                <c:ptCount val="8"/>
                <c:pt idx="0">
                  <c:v>Automotive</c:v>
                </c:pt>
                <c:pt idx="1">
                  <c:v>Entertainment</c:v>
                </c:pt>
                <c:pt idx="2">
                  <c:v>Everyday Spending</c:v>
                </c:pt>
                <c:pt idx="3">
                  <c:v>Merchandise</c:v>
                </c:pt>
                <c:pt idx="4">
                  <c:v>Other</c:v>
                </c:pt>
                <c:pt idx="5">
                  <c:v>Dining out</c:v>
                </c:pt>
                <c:pt idx="6">
                  <c:v>Travel</c:v>
                </c:pt>
                <c:pt idx="7">
                  <c:v>Fuel</c:v>
                </c:pt>
              </c:strCache>
            </c:strRef>
          </c:cat>
          <c:val>
            <c:numRef>
              <c:f>'Dashboard Summary'!$S$11:$S$18</c:f>
              <c:numCache>
                <c:formatCode>"$"#,##0.00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1161.31</c:v>
                </c:pt>
                <c:pt idx="3">
                  <c:v>1100</c:v>
                </c:pt>
                <c:pt idx="4">
                  <c:v>500</c:v>
                </c:pt>
                <c:pt idx="5">
                  <c:v>130</c:v>
                </c:pt>
                <c:pt idx="6">
                  <c:v>100</c:v>
                </c:pt>
                <c:pt idx="7">
                  <c:v>124.76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2-429D-8420-92A6B115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382666529043617E-2"/>
          <c:y val="0.90304028323555507"/>
          <c:w val="0.92736987051603104"/>
          <c:h val="7.1527791220578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Net Worth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Summary'!$F$75</c:f>
              <c:strCache>
                <c:ptCount val="1"/>
                <c:pt idx="0">
                  <c:v>Networth</c:v>
                </c:pt>
              </c:strCache>
            </c:strRef>
          </c:tx>
          <c:marker>
            <c:symbol val="none"/>
          </c:marker>
          <c:cat>
            <c:strRef>
              <c:f>'Dashboard Summary'!$G$35:$R$35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 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Summary'!$G$75:$R$75</c:f>
              <c:numCache>
                <c:formatCode>"$"#,##0.00</c:formatCode>
                <c:ptCount val="12"/>
                <c:pt idx="0">
                  <c:v>72750</c:v>
                </c:pt>
                <c:pt idx="1">
                  <c:v>77500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5-49F6-A5DD-97809FEB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268817"/>
        <c:axId val="285162167"/>
      </c:lineChart>
      <c:catAx>
        <c:axId val="823268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5162167"/>
        <c:crosses val="autoZero"/>
        <c:auto val="1"/>
        <c:lblAlgn val="ctr"/>
        <c:lblOffset val="100"/>
        <c:noMultiLvlLbl val="1"/>
      </c:catAx>
      <c:valAx>
        <c:axId val="285162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Net Worth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32688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4140</xdr:colOff>
      <xdr:row>9</xdr:row>
      <xdr:rowOff>11594</xdr:rowOff>
    </xdr:from>
    <xdr:to>
      <xdr:col>29</xdr:col>
      <xdr:colOff>588063</xdr:colOff>
      <xdr:row>28</xdr:row>
      <xdr:rowOff>24847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2EC69-543E-76DF-233D-3FF11EBE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596348</xdr:colOff>
      <xdr:row>28</xdr:row>
      <xdr:rowOff>177247</xdr:rowOff>
    </xdr:from>
    <xdr:to>
      <xdr:col>30</xdr:col>
      <xdr:colOff>33130</xdr:colOff>
      <xdr:row>43</xdr:row>
      <xdr:rowOff>115956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67F47-9F06-9DDB-97BC-2A2187132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571500</xdr:colOff>
      <xdr:row>45</xdr:row>
      <xdr:rowOff>173935</xdr:rowOff>
    </xdr:from>
    <xdr:ext cx="9001125" cy="43148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5929B228-D7FB-4D23-A5DC-8E6604CDC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zoomScaleNormal="100" workbookViewId="0">
      <selection activeCell="C22" sqref="C22:D23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2.140625" customWidth="1"/>
    <col min="4" max="4" width="18.5703125" bestFit="1" customWidth="1"/>
    <col min="6" max="6" width="20.140625" bestFit="1" customWidth="1"/>
    <col min="7" max="7" width="12" bestFit="1" customWidth="1"/>
    <col min="8" max="8" width="12.42578125" bestFit="1" customWidth="1"/>
    <col min="9" max="12" width="12" bestFit="1" customWidth="1"/>
    <col min="13" max="13" width="12.42578125" bestFit="1" customWidth="1"/>
    <col min="14" max="14" width="12" bestFit="1" customWidth="1"/>
    <col min="15" max="18" width="12.42578125" bestFit="1" customWidth="1"/>
    <col min="19" max="19" width="14.8554687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F1" s="17" t="s">
        <v>17</v>
      </c>
      <c r="G1" s="7" t="s">
        <v>26</v>
      </c>
      <c r="H1" s="7" t="s">
        <v>18</v>
      </c>
      <c r="I1" s="7" t="s">
        <v>19</v>
      </c>
      <c r="J1" s="7" t="s">
        <v>20</v>
      </c>
      <c r="K1" s="7" t="s">
        <v>8</v>
      </c>
      <c r="L1" s="7" t="s">
        <v>9</v>
      </c>
      <c r="M1" s="7" t="s">
        <v>10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</row>
    <row r="2" spans="1:19" x14ac:dyDescent="0.25">
      <c r="A2" s="3" t="s">
        <v>4</v>
      </c>
      <c r="B2" s="4">
        <f>G4</f>
        <v>5000</v>
      </c>
      <c r="C2" s="5">
        <f>G32</f>
        <v>2175</v>
      </c>
      <c r="D2" s="6">
        <f t="shared" ref="D2:D14" si="0">B2-C2</f>
        <v>2825</v>
      </c>
      <c r="F2" t="s">
        <v>28</v>
      </c>
      <c r="G2" s="19">
        <v>5000</v>
      </c>
      <c r="H2" s="19">
        <v>5000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</row>
    <row r="3" spans="1:19" x14ac:dyDescent="0.25">
      <c r="A3" s="3" t="s">
        <v>5</v>
      </c>
      <c r="B3" s="4">
        <f>H4</f>
        <v>5000</v>
      </c>
      <c r="C3" s="5">
        <f>H32</f>
        <v>2076.0699999999997</v>
      </c>
      <c r="D3" s="57">
        <f t="shared" si="0"/>
        <v>2923.9300000000003</v>
      </c>
      <c r="F3" t="s">
        <v>27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</row>
    <row r="4" spans="1:19" x14ac:dyDescent="0.25">
      <c r="A4" s="3" t="s">
        <v>6</v>
      </c>
      <c r="B4" s="4">
        <f>I4</f>
        <v>0</v>
      </c>
      <c r="C4" s="5">
        <f>I32</f>
        <v>0</v>
      </c>
      <c r="D4" s="6">
        <f t="shared" si="0"/>
        <v>0</v>
      </c>
      <c r="F4" s="18" t="s">
        <v>29</v>
      </c>
      <c r="G4" s="20">
        <f>SUM(G2:G3)</f>
        <v>5000</v>
      </c>
      <c r="H4" s="20">
        <f>SUM(H2:H3)</f>
        <v>5000</v>
      </c>
      <c r="I4" s="20">
        <f t="shared" ref="I4:R4" si="1">SUM(I2:I3)</f>
        <v>0</v>
      </c>
      <c r="J4" s="20">
        <f t="shared" si="1"/>
        <v>0</v>
      </c>
      <c r="K4" s="20">
        <f t="shared" si="1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  <c r="O4" s="20">
        <f t="shared" si="1"/>
        <v>0</v>
      </c>
      <c r="P4" s="20">
        <f t="shared" si="1"/>
        <v>0</v>
      </c>
      <c r="Q4" s="20">
        <f t="shared" si="1"/>
        <v>0</v>
      </c>
      <c r="R4" s="20">
        <f t="shared" si="1"/>
        <v>0</v>
      </c>
      <c r="S4" s="56">
        <f>SUM(G4:R4)</f>
        <v>10000</v>
      </c>
    </row>
    <row r="5" spans="1:19" x14ac:dyDescent="0.25">
      <c r="A5" s="8" t="s">
        <v>7</v>
      </c>
      <c r="B5" s="9">
        <f>J4</f>
        <v>0</v>
      </c>
      <c r="C5" s="5">
        <f>J32</f>
        <v>0</v>
      </c>
      <c r="D5" s="6">
        <f t="shared" si="0"/>
        <v>0</v>
      </c>
    </row>
    <row r="6" spans="1:19" x14ac:dyDescent="0.25">
      <c r="A6" s="3" t="s">
        <v>8</v>
      </c>
      <c r="B6" s="4">
        <f>K4</f>
        <v>0</v>
      </c>
      <c r="C6" s="26">
        <f>K32</f>
        <v>0</v>
      </c>
      <c r="D6" s="11">
        <f t="shared" si="0"/>
        <v>0</v>
      </c>
    </row>
    <row r="7" spans="1:19" x14ac:dyDescent="0.25">
      <c r="A7" s="3" t="s">
        <v>9</v>
      </c>
      <c r="B7" s="4">
        <f>L4</f>
        <v>0</v>
      </c>
      <c r="C7" s="5">
        <f>L32</f>
        <v>0</v>
      </c>
      <c r="D7" s="6">
        <f t="shared" si="0"/>
        <v>0</v>
      </c>
    </row>
    <row r="8" spans="1:19" x14ac:dyDescent="0.25">
      <c r="A8" s="3" t="s">
        <v>10</v>
      </c>
      <c r="B8" s="4">
        <f>M4</f>
        <v>0</v>
      </c>
      <c r="C8" s="5">
        <f>L32</f>
        <v>0</v>
      </c>
      <c r="D8" s="6">
        <f>B8-C8</f>
        <v>0</v>
      </c>
    </row>
    <row r="9" spans="1:19" x14ac:dyDescent="0.25">
      <c r="A9" s="8" t="s">
        <v>11</v>
      </c>
      <c r="B9" s="9">
        <f>N4</f>
        <v>0</v>
      </c>
      <c r="C9" s="10">
        <f>N32</f>
        <v>0</v>
      </c>
      <c r="D9" s="12">
        <f t="shared" si="0"/>
        <v>0</v>
      </c>
    </row>
    <row r="10" spans="1:19" x14ac:dyDescent="0.25">
      <c r="A10" s="3" t="s">
        <v>12</v>
      </c>
      <c r="B10" s="4">
        <f>O4</f>
        <v>0</v>
      </c>
      <c r="C10" s="13">
        <f>O32</f>
        <v>0</v>
      </c>
      <c r="D10" s="6">
        <f t="shared" si="0"/>
        <v>0</v>
      </c>
      <c r="F10" s="21" t="s">
        <v>30</v>
      </c>
      <c r="G10" s="7" t="s">
        <v>26</v>
      </c>
      <c r="H10" s="7" t="s">
        <v>18</v>
      </c>
      <c r="I10" s="7" t="s">
        <v>19</v>
      </c>
      <c r="J10" s="7" t="s">
        <v>20</v>
      </c>
      <c r="K10" s="7" t="s">
        <v>8</v>
      </c>
      <c r="L10" s="7" t="s">
        <v>9</v>
      </c>
      <c r="M10" s="7" t="s">
        <v>10</v>
      </c>
      <c r="N10" s="7" t="s">
        <v>21</v>
      </c>
      <c r="O10" s="7" t="s">
        <v>22</v>
      </c>
      <c r="P10" s="7" t="s">
        <v>23</v>
      </c>
      <c r="Q10" s="7" t="s">
        <v>24</v>
      </c>
      <c r="R10" s="7" t="s">
        <v>25</v>
      </c>
      <c r="S10" s="7" t="s">
        <v>44</v>
      </c>
    </row>
    <row r="11" spans="1:19" x14ac:dyDescent="0.25">
      <c r="A11" s="3" t="s">
        <v>13</v>
      </c>
      <c r="B11" s="4">
        <f>P4</f>
        <v>0</v>
      </c>
      <c r="C11" s="5">
        <f>P32</f>
        <v>0</v>
      </c>
      <c r="D11" s="6">
        <f t="shared" si="0"/>
        <v>0</v>
      </c>
      <c r="F11" t="s">
        <v>75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3">
        <f>SUM(G11:R11)</f>
        <v>0</v>
      </c>
    </row>
    <row r="12" spans="1:19" x14ac:dyDescent="0.25">
      <c r="A12" s="3" t="s">
        <v>14</v>
      </c>
      <c r="B12" s="4">
        <f>Q4</f>
        <v>0</v>
      </c>
      <c r="C12" s="5">
        <f>Q32</f>
        <v>0</v>
      </c>
      <c r="D12" s="6">
        <f t="shared" si="0"/>
        <v>0</v>
      </c>
      <c r="F12" t="s">
        <v>32</v>
      </c>
      <c r="G12" s="27">
        <v>5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3">
        <f t="shared" ref="S12:S18" si="2">SUM(G12:R12)</f>
        <v>5</v>
      </c>
    </row>
    <row r="13" spans="1:19" x14ac:dyDescent="0.25">
      <c r="A13" s="3" t="s">
        <v>15</v>
      </c>
      <c r="B13" s="9">
        <f>R4</f>
        <v>0</v>
      </c>
      <c r="C13" s="5">
        <f>R32</f>
        <v>0</v>
      </c>
      <c r="D13" s="6">
        <f t="shared" si="0"/>
        <v>0</v>
      </c>
      <c r="F13" t="s">
        <v>31</v>
      </c>
      <c r="G13" s="27">
        <v>1000</v>
      </c>
      <c r="H13" s="27">
        <v>161.31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3">
        <f t="shared" si="2"/>
        <v>1161.31</v>
      </c>
    </row>
    <row r="14" spans="1:19" ht="15.75" thickBot="1" x14ac:dyDescent="0.3">
      <c r="A14" s="14" t="s">
        <v>16</v>
      </c>
      <c r="B14" s="15">
        <f t="shared" ref="B14:C14" si="3">SUM(B2:B13)</f>
        <v>10000</v>
      </c>
      <c r="C14" s="15">
        <f t="shared" si="3"/>
        <v>4251.07</v>
      </c>
      <c r="D14" s="16">
        <f t="shared" si="0"/>
        <v>5748.93</v>
      </c>
      <c r="F14" t="s">
        <v>80</v>
      </c>
      <c r="G14" s="27">
        <v>100</v>
      </c>
      <c r="H14" s="27">
        <v>1000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3">
        <f t="shared" si="2"/>
        <v>1100</v>
      </c>
    </row>
    <row r="15" spans="1:19" x14ac:dyDescent="0.25">
      <c r="F15" t="s">
        <v>45</v>
      </c>
      <c r="G15" s="27">
        <v>0</v>
      </c>
      <c r="H15" s="27">
        <v>500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3">
        <f t="shared" si="2"/>
        <v>500</v>
      </c>
    </row>
    <row r="16" spans="1:19" x14ac:dyDescent="0.25">
      <c r="F16" t="s">
        <v>76</v>
      </c>
      <c r="G16" s="27">
        <v>100</v>
      </c>
      <c r="H16" s="27">
        <v>30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3">
        <f t="shared" si="2"/>
        <v>130</v>
      </c>
    </row>
    <row r="17" spans="3:19" x14ac:dyDescent="0.25">
      <c r="F17" t="s">
        <v>77</v>
      </c>
      <c r="G17" s="27">
        <v>50</v>
      </c>
      <c r="H17" s="27">
        <v>50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3">
        <f t="shared" si="2"/>
        <v>100</v>
      </c>
    </row>
    <row r="18" spans="3:19" x14ac:dyDescent="0.25">
      <c r="F18" t="s">
        <v>78</v>
      </c>
      <c r="G18" s="27">
        <v>60</v>
      </c>
      <c r="H18" s="27">
        <v>64.760000000000005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3">
        <f t="shared" si="2"/>
        <v>124.76</v>
      </c>
    </row>
    <row r="19" spans="3:19" x14ac:dyDescent="0.25">
      <c r="F19" s="18" t="s">
        <v>33</v>
      </c>
      <c r="G19" s="28">
        <f>SUM(G11:G18)</f>
        <v>1315</v>
      </c>
      <c r="H19" s="28">
        <f t="shared" ref="H19:M19" si="4">SUM(H11:H18)</f>
        <v>1806.07</v>
      </c>
      <c r="I19" s="28">
        <f t="shared" si="4"/>
        <v>0</v>
      </c>
      <c r="J19" s="28">
        <f t="shared" si="4"/>
        <v>0</v>
      </c>
      <c r="K19" s="28">
        <f t="shared" si="4"/>
        <v>0</v>
      </c>
      <c r="L19" s="28">
        <f t="shared" si="4"/>
        <v>0</v>
      </c>
      <c r="M19" s="28">
        <f t="shared" si="4"/>
        <v>0</v>
      </c>
      <c r="N19" s="28">
        <f>SUM(N11:N18)</f>
        <v>0</v>
      </c>
      <c r="O19" s="28">
        <f t="shared" ref="O19" si="5">SUM(O11:O18)</f>
        <v>0</v>
      </c>
      <c r="P19" s="28">
        <f t="shared" ref="P19" si="6">SUM(P11:P18)</f>
        <v>0</v>
      </c>
      <c r="Q19" s="28">
        <f t="shared" ref="Q19" si="7">SUM(Q11:Q18)</f>
        <v>0</v>
      </c>
      <c r="R19" s="28">
        <f t="shared" ref="R19" si="8">SUM(R11:R18)</f>
        <v>0</v>
      </c>
      <c r="S19" s="20">
        <f>SUM(S11:S18)</f>
        <v>3121.07</v>
      </c>
    </row>
    <row r="20" spans="3:19" x14ac:dyDescent="0.25"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3"/>
    </row>
    <row r="21" spans="3:19" ht="15.75" thickBot="1" x14ac:dyDescent="0.3">
      <c r="F21" s="21" t="s">
        <v>34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3"/>
    </row>
    <row r="22" spans="3:19" x14ac:dyDescent="0.25">
      <c r="C22" s="52" t="s">
        <v>73</v>
      </c>
      <c r="D22" s="54">
        <f>S32/S4</f>
        <v>0.42510699999999996</v>
      </c>
      <c r="F22" t="s">
        <v>35</v>
      </c>
      <c r="G22" s="27">
        <v>590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3">
        <f>SUM(G22:R22)</f>
        <v>590</v>
      </c>
    </row>
    <row r="23" spans="3:19" ht="15.75" thickBot="1" x14ac:dyDescent="0.3">
      <c r="C23" s="53" t="s">
        <v>74</v>
      </c>
      <c r="D23" s="55">
        <f>1-D22</f>
        <v>0.5748930000000001</v>
      </c>
      <c r="F23" t="s">
        <v>36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3">
        <f t="shared" ref="S23:S24" si="9">SUM(G23:R23)</f>
        <v>0</v>
      </c>
    </row>
    <row r="24" spans="3:19" x14ac:dyDescent="0.25">
      <c r="F24" t="s">
        <v>37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3">
        <f t="shared" si="9"/>
        <v>0</v>
      </c>
    </row>
    <row r="25" spans="3:19" x14ac:dyDescent="0.25">
      <c r="F25" s="18" t="s">
        <v>38</v>
      </c>
      <c r="G25" s="28">
        <f>SUM(G22:G24)</f>
        <v>590</v>
      </c>
      <c r="H25" s="28">
        <f t="shared" ref="H25:R25" si="10">SUM(H22:H24)</f>
        <v>0</v>
      </c>
      <c r="I25" s="28">
        <f t="shared" si="10"/>
        <v>0</v>
      </c>
      <c r="J25" s="28">
        <f t="shared" si="10"/>
        <v>0</v>
      </c>
      <c r="K25" s="28">
        <f t="shared" si="10"/>
        <v>0</v>
      </c>
      <c r="L25" s="28">
        <f t="shared" si="10"/>
        <v>0</v>
      </c>
      <c r="M25" s="28">
        <f t="shared" si="10"/>
        <v>0</v>
      </c>
      <c r="N25" s="28">
        <f t="shared" si="10"/>
        <v>0</v>
      </c>
      <c r="O25" s="28">
        <f t="shared" si="10"/>
        <v>0</v>
      </c>
      <c r="P25" s="28">
        <f t="shared" si="10"/>
        <v>0</v>
      </c>
      <c r="Q25" s="28">
        <f t="shared" si="10"/>
        <v>0</v>
      </c>
      <c r="R25" s="28">
        <f t="shared" si="10"/>
        <v>0</v>
      </c>
      <c r="S25" s="20">
        <f>SUM(S22:S24)</f>
        <v>590</v>
      </c>
    </row>
    <row r="26" spans="3:19" x14ac:dyDescent="0.25"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3"/>
    </row>
    <row r="27" spans="3:19" x14ac:dyDescent="0.25">
      <c r="F27" s="21" t="s">
        <v>39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3"/>
    </row>
    <row r="28" spans="3:19" x14ac:dyDescent="0.25">
      <c r="F28" t="s">
        <v>40</v>
      </c>
      <c r="G28" s="27">
        <v>250</v>
      </c>
      <c r="H28" s="27">
        <v>250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3">
        <f>SUM(G28:R28)</f>
        <v>500</v>
      </c>
    </row>
    <row r="29" spans="3:19" x14ac:dyDescent="0.25">
      <c r="F29" t="s">
        <v>41</v>
      </c>
      <c r="G29" s="27">
        <v>20</v>
      </c>
      <c r="H29" s="27">
        <v>20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3">
        <f>SUM(G29:R29)</f>
        <v>40</v>
      </c>
    </row>
    <row r="30" spans="3:19" x14ac:dyDescent="0.25">
      <c r="F30" t="s">
        <v>45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3">
        <f>SUM(G30:R30)</f>
        <v>0</v>
      </c>
    </row>
    <row r="31" spans="3:19" x14ac:dyDescent="0.25">
      <c r="F31" s="22" t="s">
        <v>42</v>
      </c>
      <c r="G31" s="29">
        <f t="shared" ref="G31:S31" si="11">SUM(G28:G30)</f>
        <v>270</v>
      </c>
      <c r="H31" s="29">
        <f t="shared" si="11"/>
        <v>270</v>
      </c>
      <c r="I31" s="29">
        <f t="shared" si="11"/>
        <v>0</v>
      </c>
      <c r="J31" s="29">
        <f t="shared" si="11"/>
        <v>0</v>
      </c>
      <c r="K31" s="29">
        <f t="shared" si="11"/>
        <v>0</v>
      </c>
      <c r="L31" s="29">
        <f t="shared" si="11"/>
        <v>0</v>
      </c>
      <c r="M31" s="29">
        <f t="shared" si="11"/>
        <v>0</v>
      </c>
      <c r="N31" s="29">
        <f t="shared" si="11"/>
        <v>0</v>
      </c>
      <c r="O31" s="29">
        <f t="shared" si="11"/>
        <v>0</v>
      </c>
      <c r="P31" s="29">
        <f t="shared" si="11"/>
        <v>0</v>
      </c>
      <c r="Q31" s="29">
        <f t="shared" si="11"/>
        <v>0</v>
      </c>
      <c r="R31" s="29">
        <f t="shared" si="11"/>
        <v>0</v>
      </c>
      <c r="S31" s="24">
        <f t="shared" si="11"/>
        <v>540</v>
      </c>
    </row>
    <row r="32" spans="3:19" x14ac:dyDescent="0.25">
      <c r="F32" s="22" t="s">
        <v>43</v>
      </c>
      <c r="G32" s="29">
        <f t="shared" ref="G32:S32" si="12">G31+G25+G19</f>
        <v>2175</v>
      </c>
      <c r="H32" s="29">
        <f t="shared" si="12"/>
        <v>2076.0699999999997</v>
      </c>
      <c r="I32" s="29">
        <f t="shared" si="12"/>
        <v>0</v>
      </c>
      <c r="J32" s="29">
        <f t="shared" si="12"/>
        <v>0</v>
      </c>
      <c r="K32" s="29">
        <f t="shared" si="12"/>
        <v>0</v>
      </c>
      <c r="L32" s="29">
        <f t="shared" si="12"/>
        <v>0</v>
      </c>
      <c r="M32" s="29">
        <f t="shared" si="12"/>
        <v>0</v>
      </c>
      <c r="N32" s="29">
        <f t="shared" si="12"/>
        <v>0</v>
      </c>
      <c r="O32" s="29">
        <f t="shared" si="12"/>
        <v>0</v>
      </c>
      <c r="P32" s="29">
        <f t="shared" si="12"/>
        <v>0</v>
      </c>
      <c r="Q32" s="29">
        <f t="shared" si="12"/>
        <v>0</v>
      </c>
      <c r="R32" s="29">
        <f t="shared" si="12"/>
        <v>0</v>
      </c>
      <c r="S32" s="25">
        <f t="shared" si="12"/>
        <v>4251.07</v>
      </c>
    </row>
    <row r="34" spans="6:18" ht="15.75" thickBot="1" x14ac:dyDescent="0.3"/>
    <row r="35" spans="6:18" x14ac:dyDescent="0.25">
      <c r="F35" s="30" t="s">
        <v>48</v>
      </c>
      <c r="G35" s="31" t="s">
        <v>26</v>
      </c>
      <c r="H35" s="31" t="s">
        <v>18</v>
      </c>
      <c r="I35" s="31" t="s">
        <v>19</v>
      </c>
      <c r="J35" s="31" t="s">
        <v>20</v>
      </c>
      <c r="K35" s="31" t="s">
        <v>8</v>
      </c>
      <c r="L35" s="31" t="s">
        <v>9</v>
      </c>
      <c r="M35" s="31" t="s">
        <v>10</v>
      </c>
      <c r="N35" s="31" t="s">
        <v>21</v>
      </c>
      <c r="O35" s="31" t="s">
        <v>22</v>
      </c>
      <c r="P35" s="31" t="s">
        <v>23</v>
      </c>
      <c r="Q35" s="31" t="s">
        <v>24</v>
      </c>
      <c r="R35" s="32" t="s">
        <v>25</v>
      </c>
    </row>
    <row r="36" spans="6:18" x14ac:dyDescent="0.25">
      <c r="F36" s="33" t="s">
        <v>47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5"/>
    </row>
    <row r="37" spans="6:18" x14ac:dyDescent="0.25">
      <c r="F37" s="36" t="s">
        <v>51</v>
      </c>
      <c r="G37" s="34">
        <v>1000</v>
      </c>
      <c r="H37" s="34">
        <v>1000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</row>
    <row r="38" spans="6:18" x14ac:dyDescent="0.25">
      <c r="F38" s="36" t="s">
        <v>50</v>
      </c>
      <c r="G38" s="34">
        <v>500</v>
      </c>
      <c r="H38" s="34">
        <v>500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</row>
    <row r="39" spans="6:18" x14ac:dyDescent="0.25">
      <c r="F39" s="36" t="s">
        <v>49</v>
      </c>
      <c r="G39" s="34">
        <v>25000</v>
      </c>
      <c r="H39" s="34">
        <v>25000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</row>
    <row r="40" spans="6:18" x14ac:dyDescent="0.25">
      <c r="F40" s="36" t="s">
        <v>64</v>
      </c>
      <c r="G40" s="34">
        <v>250</v>
      </c>
      <c r="H40" s="34">
        <v>250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</row>
    <row r="41" spans="6:18" x14ac:dyDescent="0.25">
      <c r="F41" s="43" t="s">
        <v>52</v>
      </c>
      <c r="G41" s="44">
        <f>SUM(G37:G40)</f>
        <v>26750</v>
      </c>
      <c r="H41" s="44">
        <f t="shared" ref="H41:R41" si="13">SUM(H37:H39)</f>
        <v>26500</v>
      </c>
      <c r="I41" s="44">
        <f t="shared" si="13"/>
        <v>0</v>
      </c>
      <c r="J41" s="44">
        <f t="shared" si="13"/>
        <v>0</v>
      </c>
      <c r="K41" s="44">
        <f t="shared" si="13"/>
        <v>0</v>
      </c>
      <c r="L41" s="44">
        <f t="shared" si="13"/>
        <v>0</v>
      </c>
      <c r="M41" s="44">
        <f t="shared" si="13"/>
        <v>0</v>
      </c>
      <c r="N41" s="44">
        <f t="shared" si="13"/>
        <v>0</v>
      </c>
      <c r="O41" s="44">
        <f t="shared" si="13"/>
        <v>0</v>
      </c>
      <c r="P41" s="44">
        <f t="shared" si="13"/>
        <v>0</v>
      </c>
      <c r="Q41" s="44">
        <f t="shared" si="13"/>
        <v>0</v>
      </c>
      <c r="R41" s="45">
        <f t="shared" si="13"/>
        <v>0</v>
      </c>
    </row>
    <row r="42" spans="6:18" x14ac:dyDescent="0.25">
      <c r="F42" s="37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</row>
    <row r="43" spans="6:18" x14ac:dyDescent="0.25">
      <c r="F43" s="38" t="s">
        <v>53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5"/>
    </row>
    <row r="44" spans="6:18" x14ac:dyDescent="0.25">
      <c r="F44" s="39" t="s">
        <v>54</v>
      </c>
      <c r="G44" s="40">
        <v>26000</v>
      </c>
      <c r="H44" s="40">
        <v>26000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</row>
    <row r="45" spans="6:18" x14ac:dyDescent="0.25">
      <c r="F45" s="39" t="s">
        <v>55</v>
      </c>
      <c r="G45" s="40">
        <v>10000</v>
      </c>
      <c r="H45" s="40">
        <v>15000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</row>
    <row r="46" spans="6:18" x14ac:dyDescent="0.25">
      <c r="F46" s="39" t="s">
        <v>56</v>
      </c>
      <c r="G46" s="40">
        <v>1000</v>
      </c>
      <c r="H46" s="40">
        <v>1000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</row>
    <row r="47" spans="6:18" x14ac:dyDescent="0.25">
      <c r="F47" s="39" t="s">
        <v>57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</row>
    <row r="48" spans="6:18" x14ac:dyDescent="0.25">
      <c r="F48" s="39" t="s">
        <v>79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</row>
    <row r="49" spans="6:18" x14ac:dyDescent="0.25">
      <c r="F49" s="46" t="s">
        <v>52</v>
      </c>
      <c r="G49" s="44">
        <f>SUM(G44:G48)</f>
        <v>37000</v>
      </c>
      <c r="H49" s="44">
        <f t="shared" ref="H49:R49" si="14">SUM(H44:H48)</f>
        <v>42000</v>
      </c>
      <c r="I49" s="44">
        <f t="shared" si="14"/>
        <v>0</v>
      </c>
      <c r="J49" s="44">
        <f t="shared" si="14"/>
        <v>0</v>
      </c>
      <c r="K49" s="44">
        <f t="shared" si="14"/>
        <v>0</v>
      </c>
      <c r="L49" s="44">
        <f t="shared" si="14"/>
        <v>0</v>
      </c>
      <c r="M49" s="44">
        <f t="shared" si="14"/>
        <v>0</v>
      </c>
      <c r="N49" s="44">
        <f t="shared" si="14"/>
        <v>0</v>
      </c>
      <c r="O49" s="44">
        <f t="shared" si="14"/>
        <v>0</v>
      </c>
      <c r="P49" s="44">
        <f t="shared" si="14"/>
        <v>0</v>
      </c>
      <c r="Q49" s="44">
        <f t="shared" si="14"/>
        <v>0</v>
      </c>
      <c r="R49" s="44">
        <f t="shared" si="14"/>
        <v>0</v>
      </c>
    </row>
    <row r="50" spans="6:18" x14ac:dyDescent="0.25">
      <c r="F50" s="37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5"/>
    </row>
    <row r="51" spans="6:18" x14ac:dyDescent="0.25">
      <c r="F51" s="41" t="s">
        <v>58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5"/>
    </row>
    <row r="52" spans="6:18" x14ac:dyDescent="0.25">
      <c r="F52" s="39" t="s">
        <v>59</v>
      </c>
      <c r="G52" s="40">
        <v>1500</v>
      </c>
      <c r="H52" s="40">
        <v>1500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</row>
    <row r="53" spans="6:18" x14ac:dyDescent="0.25">
      <c r="F53" s="39" t="s">
        <v>60</v>
      </c>
      <c r="G53" s="40">
        <v>1500</v>
      </c>
      <c r="H53" s="40">
        <v>1500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</row>
    <row r="54" spans="6:18" x14ac:dyDescent="0.25">
      <c r="F54" s="39" t="s">
        <v>61</v>
      </c>
      <c r="G54" s="40">
        <v>1500</v>
      </c>
      <c r="H54" s="40">
        <v>1500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</row>
    <row r="55" spans="6:18" x14ac:dyDescent="0.25">
      <c r="F55" s="39" t="s">
        <v>62</v>
      </c>
      <c r="G55" s="40">
        <v>1500</v>
      </c>
      <c r="H55" s="40">
        <v>1500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</row>
    <row r="56" spans="6:18" x14ac:dyDescent="0.25">
      <c r="F56" s="39" t="s">
        <v>63</v>
      </c>
      <c r="G56" s="40">
        <v>1500</v>
      </c>
      <c r="H56" s="40">
        <v>1500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</row>
    <row r="57" spans="6:18" x14ac:dyDescent="0.25">
      <c r="F57" s="39" t="s">
        <v>68</v>
      </c>
      <c r="G57" s="40">
        <v>1500</v>
      </c>
      <c r="H57" s="40">
        <v>1500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</row>
    <row r="58" spans="6:18" x14ac:dyDescent="0.25">
      <c r="F58" s="46" t="s">
        <v>52</v>
      </c>
      <c r="G58" s="50">
        <f>SUM(G52:G57)</f>
        <v>9000</v>
      </c>
      <c r="H58" s="50">
        <f t="shared" ref="H58:R58" si="15">SUM(H52:H57)</f>
        <v>9000</v>
      </c>
      <c r="I58" s="50">
        <f t="shared" si="15"/>
        <v>0</v>
      </c>
      <c r="J58" s="50">
        <f t="shared" si="15"/>
        <v>0</v>
      </c>
      <c r="K58" s="50">
        <f t="shared" si="15"/>
        <v>0</v>
      </c>
      <c r="L58" s="50">
        <f t="shared" si="15"/>
        <v>0</v>
      </c>
      <c r="M58" s="50">
        <f t="shared" si="15"/>
        <v>0</v>
      </c>
      <c r="N58" s="50">
        <f t="shared" si="15"/>
        <v>0</v>
      </c>
      <c r="O58" s="50">
        <f t="shared" si="15"/>
        <v>0</v>
      </c>
      <c r="P58" s="50">
        <f t="shared" si="15"/>
        <v>0</v>
      </c>
      <c r="Q58" s="50">
        <f t="shared" si="15"/>
        <v>0</v>
      </c>
      <c r="R58" s="50">
        <f t="shared" si="15"/>
        <v>0</v>
      </c>
    </row>
    <row r="59" spans="6:18" x14ac:dyDescent="0.25">
      <c r="F59" s="39"/>
      <c r="G59" s="40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5"/>
    </row>
    <row r="60" spans="6:18" x14ac:dyDescent="0.25">
      <c r="F60" s="42" t="s">
        <v>69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5"/>
    </row>
    <row r="61" spans="6:18" x14ac:dyDescent="0.25">
      <c r="F61" s="39" t="s">
        <v>70</v>
      </c>
      <c r="G61" s="40">
        <v>4500</v>
      </c>
      <c r="H61" s="40">
        <v>4500</v>
      </c>
      <c r="I61" s="40">
        <v>4500</v>
      </c>
      <c r="J61" s="40">
        <v>4500</v>
      </c>
      <c r="K61" s="40">
        <v>4500</v>
      </c>
      <c r="L61" s="40">
        <v>4500</v>
      </c>
      <c r="M61" s="40">
        <v>4500</v>
      </c>
      <c r="N61" s="40">
        <v>4500</v>
      </c>
      <c r="O61" s="40">
        <v>4500</v>
      </c>
      <c r="P61" s="40">
        <v>4500</v>
      </c>
      <c r="Q61" s="40">
        <v>4500</v>
      </c>
      <c r="R61" s="40">
        <v>4500</v>
      </c>
    </row>
    <row r="62" spans="6:18" x14ac:dyDescent="0.25">
      <c r="F62" s="39" t="s">
        <v>45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</row>
    <row r="63" spans="6:18" x14ac:dyDescent="0.25">
      <c r="F63" s="46" t="s">
        <v>72</v>
      </c>
      <c r="G63" s="50">
        <f>SUM(G61)</f>
        <v>4500</v>
      </c>
      <c r="H63" s="50">
        <f t="shared" ref="H63:R63" si="16">SUM(H61)</f>
        <v>4500</v>
      </c>
      <c r="I63" s="50">
        <f t="shared" si="16"/>
        <v>4500</v>
      </c>
      <c r="J63" s="50">
        <f t="shared" si="16"/>
        <v>4500</v>
      </c>
      <c r="K63" s="50">
        <f t="shared" si="16"/>
        <v>4500</v>
      </c>
      <c r="L63" s="50">
        <f t="shared" si="16"/>
        <v>4500</v>
      </c>
      <c r="M63" s="50">
        <f t="shared" si="16"/>
        <v>4500</v>
      </c>
      <c r="N63" s="50">
        <f t="shared" si="16"/>
        <v>4500</v>
      </c>
      <c r="O63" s="50">
        <f t="shared" si="16"/>
        <v>4500</v>
      </c>
      <c r="P63" s="50">
        <f t="shared" si="16"/>
        <v>4500</v>
      </c>
      <c r="Q63" s="50">
        <f t="shared" si="16"/>
        <v>4500</v>
      </c>
      <c r="R63" s="50">
        <f t="shared" si="16"/>
        <v>4500</v>
      </c>
    </row>
    <row r="64" spans="6:18" x14ac:dyDescent="0.25">
      <c r="F64" s="37"/>
      <c r="G64" s="40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5"/>
    </row>
    <row r="65" spans="6:18" x14ac:dyDescent="0.25">
      <c r="F65" s="47" t="s">
        <v>71</v>
      </c>
      <c r="G65" s="51">
        <f>G58+G49+G41</f>
        <v>72750</v>
      </c>
      <c r="H65" s="51">
        <f t="shared" ref="H65:R65" si="17">H58+H49+H41</f>
        <v>77500</v>
      </c>
      <c r="I65" s="51">
        <f t="shared" si="17"/>
        <v>0</v>
      </c>
      <c r="J65" s="51">
        <f t="shared" si="17"/>
        <v>0</v>
      </c>
      <c r="K65" s="51">
        <f t="shared" si="17"/>
        <v>0</v>
      </c>
      <c r="L65" s="51">
        <f t="shared" si="17"/>
        <v>0</v>
      </c>
      <c r="M65" s="51">
        <f t="shared" si="17"/>
        <v>0</v>
      </c>
      <c r="N65" s="51">
        <f t="shared" si="17"/>
        <v>0</v>
      </c>
      <c r="O65" s="51">
        <f t="shared" si="17"/>
        <v>0</v>
      </c>
      <c r="P65" s="51">
        <f t="shared" si="17"/>
        <v>0</v>
      </c>
      <c r="Q65" s="51">
        <f t="shared" si="17"/>
        <v>0</v>
      </c>
      <c r="R65" s="51">
        <f t="shared" si="17"/>
        <v>0</v>
      </c>
    </row>
    <row r="66" spans="6:18" x14ac:dyDescent="0.25">
      <c r="F66" s="37"/>
      <c r="G66" s="40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5"/>
    </row>
    <row r="67" spans="6:18" x14ac:dyDescent="0.25">
      <c r="F67" s="37"/>
      <c r="G67" s="40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5"/>
    </row>
    <row r="68" spans="6:18" x14ac:dyDescent="0.25">
      <c r="F68" s="42" t="s">
        <v>65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5"/>
    </row>
    <row r="69" spans="6:18" x14ac:dyDescent="0.25">
      <c r="F69" s="39" t="s">
        <v>66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</row>
    <row r="70" spans="6:18" x14ac:dyDescent="0.25">
      <c r="F70" s="39" t="s">
        <v>67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</row>
    <row r="71" spans="6:18" x14ac:dyDescent="0.25">
      <c r="F71" s="39" t="s">
        <v>68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</row>
    <row r="72" spans="6:18" x14ac:dyDescent="0.25">
      <c r="F72" s="39" t="s">
        <v>68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</row>
    <row r="73" spans="6:18" x14ac:dyDescent="0.25">
      <c r="F73" s="46" t="s">
        <v>52</v>
      </c>
      <c r="G73" s="44">
        <f>SUM(G69:G72)</f>
        <v>0</v>
      </c>
      <c r="H73" s="44">
        <f>SUM(H69:H72)</f>
        <v>0</v>
      </c>
      <c r="I73" s="44">
        <f t="shared" ref="I73:R73" si="18">SUM(I69:I72)</f>
        <v>0</v>
      </c>
      <c r="J73" s="44">
        <f t="shared" si="18"/>
        <v>0</v>
      </c>
      <c r="K73" s="44">
        <f t="shared" si="18"/>
        <v>0</v>
      </c>
      <c r="L73" s="44">
        <f t="shared" si="18"/>
        <v>0</v>
      </c>
      <c r="M73" s="44">
        <f t="shared" si="18"/>
        <v>0</v>
      </c>
      <c r="N73" s="44">
        <f t="shared" si="18"/>
        <v>0</v>
      </c>
      <c r="O73" s="44">
        <f t="shared" si="18"/>
        <v>0</v>
      </c>
      <c r="P73" s="44">
        <f t="shared" si="18"/>
        <v>0</v>
      </c>
      <c r="Q73" s="44">
        <f t="shared" si="18"/>
        <v>0</v>
      </c>
      <c r="R73" s="44">
        <f t="shared" si="18"/>
        <v>0</v>
      </c>
    </row>
    <row r="74" spans="6:18" ht="15.75" thickBot="1" x14ac:dyDescent="0.3">
      <c r="F74" s="37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5"/>
    </row>
    <row r="75" spans="6:18" ht="15.75" thickBot="1" x14ac:dyDescent="0.3">
      <c r="F75" s="48" t="s">
        <v>46</v>
      </c>
      <c r="G75" s="49">
        <f>G65-G73</f>
        <v>72750</v>
      </c>
      <c r="H75" s="49">
        <f>H65-H73</f>
        <v>77500</v>
      </c>
      <c r="I75" s="49">
        <f t="shared" ref="I75:R75" si="19">I65-I73</f>
        <v>0</v>
      </c>
      <c r="J75" s="49">
        <f t="shared" si="19"/>
        <v>0</v>
      </c>
      <c r="K75" s="49">
        <f t="shared" si="19"/>
        <v>0</v>
      </c>
      <c r="L75" s="49">
        <f t="shared" si="19"/>
        <v>0</v>
      </c>
      <c r="M75" s="49">
        <f t="shared" si="19"/>
        <v>0</v>
      </c>
      <c r="N75" s="49">
        <f t="shared" si="19"/>
        <v>0</v>
      </c>
      <c r="O75" s="49">
        <f t="shared" si="19"/>
        <v>0</v>
      </c>
      <c r="P75" s="49">
        <f t="shared" si="19"/>
        <v>0</v>
      </c>
      <c r="Q75" s="49">
        <f t="shared" si="19"/>
        <v>0</v>
      </c>
      <c r="R75" s="49">
        <f t="shared" si="19"/>
        <v>0</v>
      </c>
    </row>
  </sheetData>
  <conditionalFormatting sqref="D2:D1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14">
    <cfRule type="cellIs" dxfId="1" priority="2" operator="less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5436-E37F-4F7E-A4B2-83BE4238FF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Investing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Ski</dc:creator>
  <cp:lastModifiedBy>Ryan Ski</cp:lastModifiedBy>
  <dcterms:created xsi:type="dcterms:W3CDTF">2015-06-05T18:17:20Z</dcterms:created>
  <dcterms:modified xsi:type="dcterms:W3CDTF">2026-03-02T23:22:13Z</dcterms:modified>
</cp:coreProperties>
</file>